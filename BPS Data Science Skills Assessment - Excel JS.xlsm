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ackson\Documents\BPS\data scientist position\"/>
    </mc:Choice>
  </mc:AlternateContent>
  <xr:revisionPtr revIDLastSave="0" documentId="13_ncr:1_{27BDD784-1D1C-474E-9B77-D8F6071F88FE}" xr6:coauthVersionLast="45" xr6:coauthVersionMax="45" xr10:uidLastSave="{00000000-0000-0000-0000-000000000000}"/>
  <bookViews>
    <workbookView xWindow="-25605" yWindow="6315" windowWidth="19980" windowHeight="9420" activeTab="2" xr2:uid="{7DA2240A-DC68-46DA-9E12-5F1BE69916CB}"/>
  </bookViews>
  <sheets>
    <sheet name="Inputs" sheetId="1" r:id="rId1"/>
    <sheet name="Calculations" sheetId="2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 a="1"/>
  <c r="I5" i="1" s="1"/>
  <c r="D14" i="2"/>
  <c r="D15" i="2" s="1"/>
  <c r="D21" i="2" s="1"/>
  <c r="C14" i="2"/>
  <c r="C15" i="2" s="1"/>
  <c r="C6" i="3" s="1"/>
  <c r="D3" i="2"/>
  <c r="D4" i="2" s="1"/>
  <c r="D5" i="3" s="1"/>
  <c r="C3" i="2"/>
  <c r="C4" i="2" s="1"/>
  <c r="C10" i="2" s="1"/>
  <c r="C9" i="2" s="1"/>
  <c r="C21" i="2" l="1"/>
  <c r="C20" i="2" s="1"/>
  <c r="D6" i="3"/>
  <c r="E6" i="3" s="1"/>
  <c r="C8" i="2"/>
  <c r="C5" i="3"/>
  <c r="E5" i="3" s="1"/>
  <c r="C19" i="2"/>
  <c r="C18" i="2"/>
  <c r="D19" i="2"/>
  <c r="D18" i="2"/>
  <c r="D20" i="2"/>
  <c r="D7" i="2"/>
  <c r="D10" i="2"/>
  <c r="D8" i="2"/>
  <c r="C7" i="2"/>
  <c r="H9" i="3" l="1"/>
  <c r="H10" i="3"/>
  <c r="I10" i="3"/>
  <c r="D17" i="2"/>
  <c r="I6" i="3" s="1"/>
  <c r="I9" i="3"/>
  <c r="H11" i="3"/>
  <c r="D9" i="2"/>
  <c r="I11" i="3"/>
  <c r="C6" i="2"/>
  <c r="H5" i="3" s="1"/>
  <c r="C17" i="2"/>
  <c r="H6" i="3" s="1"/>
  <c r="D6" i="2"/>
  <c r="J9" i="3" l="1"/>
  <c r="J10" i="3"/>
  <c r="J11" i="3"/>
  <c r="J6" i="3"/>
  <c r="I5" i="3"/>
  <c r="J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<sst xmlns="http://schemas.openxmlformats.org/spreadsheetml/2006/main" count="52" uniqueCount="28">
  <si>
    <t>Cohort Size</t>
  </si>
  <si>
    <t>Population Growth Rate</t>
  </si>
  <si>
    <t>Time Horizon</t>
  </si>
  <si>
    <t>Age-related information</t>
  </si>
  <si>
    <t>Young</t>
  </si>
  <si>
    <t>Old</t>
  </si>
  <si>
    <t>Population Distribution</t>
  </si>
  <si>
    <t>Infection Rate</t>
  </si>
  <si>
    <t>Doctor Visit</t>
  </si>
  <si>
    <t>Prescriptions</t>
  </si>
  <si>
    <t>Direct Costs</t>
  </si>
  <si>
    <t>Doctor Visits</t>
  </si>
  <si>
    <t>Indirect Costs</t>
  </si>
  <si>
    <t>Productivity Loss (time away from work)</t>
  </si>
  <si>
    <t>Count</t>
  </si>
  <si>
    <t>Infected Count</t>
  </si>
  <si>
    <t>Year 1</t>
  </si>
  <si>
    <t>Year 2</t>
  </si>
  <si>
    <t>Total</t>
  </si>
  <si>
    <t>Doctor</t>
  </si>
  <si>
    <t>Scripts</t>
  </si>
  <si>
    <t>Productivity Loss</t>
  </si>
  <si>
    <t>Number of Infected</t>
  </si>
  <si>
    <t>Cost Breakdowns</t>
  </si>
  <si>
    <t>1 Year</t>
  </si>
  <si>
    <t>2 Years</t>
  </si>
  <si>
    <t>Average Salary</t>
  </si>
  <si>
    <t>This table is extra. You are not required to add this into your tool.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</si>
</sst>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left" indent="2"/>
    </xf>
    <xf numFmtId="2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0" xfId="0" applyFont="1" applyFill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4" borderId="0" xfId="0" applyFill="1"/>
    <xf numFmtId="0" fontId="2" fillId="4" borderId="1" xfId="0" applyFont="1" applyFill="1" applyBorder="1" applyAlignment="1">
      <alignment horizontal="left"/>
    </xf>
    <xf numFmtId="0" fontId="2" fillId="4" borderId="0" xfId="0" applyFont="1" applyFill="1"/>
    <xf numFmtId="164" fontId="0" fillId="4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9525</xdr:rowOff>
        </xdr:from>
        <xdr:to>
          <xdr:col>1</xdr:col>
          <xdr:colOff>581025</xdr:colOff>
          <xdr:row>2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F9C6-CB9E-47C4-90B0-325B79F6C559}">
  <sheetPr codeName="Sheet1"/>
  <dimension ref="A3:J26"/>
  <sheetViews>
    <sheetView workbookViewId="0"/>
  </sheetViews>
  <sheetFormatPr defaultRowHeight="15" x14ac:dyDescent="0.25"/>
  <cols>
    <col min="4" max="4" width="13.5703125" customWidth="1"/>
    <col min="5" max="6" width="11.5703125" bestFit="1" customWidth="1"/>
    <col min="7" max="7" width="11.7109375" customWidth="1"/>
    <col min="9" max="9" width="15.28515625" customWidth="1"/>
  </cols>
  <sheetData>
    <row r="3" spans="4:10" ht="45" x14ac:dyDescent="0.25">
      <c r="E3" s="10" t="s">
        <v>0</v>
      </c>
      <c r="G3" s="10" t="s">
        <v>1</v>
      </c>
      <c r="I3" s="10" t="s">
        <v>2</v>
      </c>
    </row>
    <row r="4" spans="4:10" x14ac:dyDescent="0.25">
      <c r="E4" s="17">
        <v>10000</v>
      </c>
      <c r="F4" s="13"/>
      <c r="G4" s="11">
        <v>0.03</v>
      </c>
      <c r="H4" s="13"/>
      <c r="I4" s="13" t="s">
        <v>24</v>
      </c>
    </row>
    <row r="5" spans="4:10" x14ac:dyDescent="0.25">
      <c r="I5" s="14" cm="1">
        <f t="array" ref="I5">_xlfn.SWITCH(I4, "1 Year", 1, "2 Years", 2)</f>
        <v>1</v>
      </c>
    </row>
    <row r="7" spans="4:10" ht="30" customHeight="1" x14ac:dyDescent="0.25">
      <c r="D7" s="18" t="s">
        <v>3</v>
      </c>
      <c r="E7" s="18"/>
      <c r="F7" s="18"/>
      <c r="I7" s="18" t="s">
        <v>10</v>
      </c>
      <c r="J7" s="18"/>
    </row>
    <row r="8" spans="4:10" x14ac:dyDescent="0.25">
      <c r="D8" s="5"/>
      <c r="E8" s="7" t="s">
        <v>4</v>
      </c>
      <c r="F8" s="7" t="s">
        <v>5</v>
      </c>
      <c r="I8" s="9" t="s">
        <v>8</v>
      </c>
      <c r="J8" s="12">
        <v>100</v>
      </c>
    </row>
    <row r="9" spans="4:10" ht="30" x14ac:dyDescent="0.25">
      <c r="D9" s="9" t="s">
        <v>6</v>
      </c>
      <c r="E9" s="11">
        <v>0.7</v>
      </c>
      <c r="F9" s="11">
        <v>0.3</v>
      </c>
      <c r="I9" s="9" t="s">
        <v>9</v>
      </c>
      <c r="J9" s="12">
        <v>50</v>
      </c>
    </row>
    <row r="10" spans="4:10" x14ac:dyDescent="0.25">
      <c r="D10" s="9" t="s">
        <v>7</v>
      </c>
      <c r="E10" s="11">
        <v>0.35</v>
      </c>
      <c r="F10" s="11">
        <v>0.6</v>
      </c>
    </row>
    <row r="11" spans="4:10" ht="30" x14ac:dyDescent="0.25">
      <c r="D11" s="9" t="s">
        <v>26</v>
      </c>
      <c r="E11" s="12">
        <v>35000</v>
      </c>
      <c r="F11" s="12">
        <v>40000</v>
      </c>
    </row>
    <row r="25" spans="1:1" x14ac:dyDescent="0.25">
      <c r="A25" s="15" t="s">
        <v>24</v>
      </c>
    </row>
    <row r="26" spans="1:1" x14ac:dyDescent="0.25">
      <c r="A26" s="15" t="s">
        <v>25</v>
      </c>
    </row>
  </sheetData>
  <mergeCells count="2">
    <mergeCell ref="D7:F7"/>
    <mergeCell ref="I7:J7"/>
  </mergeCells>
  <dataValidations count="1">
    <dataValidation type="list" allowBlank="1" showInputMessage="1" showErrorMessage="1" sqref="I4" xr:uid="{C1967F35-F0F9-4EC6-B31F-7EE06F569342}">
      <formula1>$A$25:$A$26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etDefaults">
                <anchor moveWithCells="1" siz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1</xdr:col>
                    <xdr:colOff>581025</xdr:colOff>
                    <xdr:row>2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091EE-6243-4C9A-9AA9-02465FD333B5}">
  <sheetPr codeName="Sheet2"/>
  <dimension ref="B2:D21"/>
  <sheetViews>
    <sheetView workbookViewId="0">
      <selection activeCell="G4" sqref="G4"/>
    </sheetView>
  </sheetViews>
  <sheetFormatPr defaultRowHeight="15" x14ac:dyDescent="0.25"/>
  <cols>
    <col min="2" max="2" width="16.28515625" customWidth="1"/>
    <col min="3" max="3" width="13.140625" customWidth="1"/>
    <col min="4" max="4" width="12.7109375" customWidth="1"/>
  </cols>
  <sheetData>
    <row r="2" spans="2:4" x14ac:dyDescent="0.25">
      <c r="C2" t="s">
        <v>16</v>
      </c>
      <c r="D2" t="s">
        <v>17</v>
      </c>
    </row>
    <row r="3" spans="2:4" x14ac:dyDescent="0.25">
      <c r="B3" t="s">
        <v>14</v>
      </c>
      <c r="C3" s="2">
        <f>Inputs!$E$4*Inputs!$E$9</f>
        <v>7000</v>
      </c>
      <c r="D3" s="2">
        <f>Inputs!$E$4*Inputs!$E$9*(1+Inputs!$G$4)</f>
        <v>7210</v>
      </c>
    </row>
    <row r="4" spans="2:4" x14ac:dyDescent="0.25">
      <c r="B4" t="s">
        <v>15</v>
      </c>
      <c r="C4" s="2">
        <f>C3*Inputs!$E$10</f>
        <v>2450</v>
      </c>
      <c r="D4" s="2">
        <f>D3*Inputs!$E$10</f>
        <v>2523.5</v>
      </c>
    </row>
    <row r="6" spans="2:4" x14ac:dyDescent="0.25">
      <c r="B6" t="s">
        <v>10</v>
      </c>
      <c r="C6" s="3">
        <f>SUM(C7:C8)</f>
        <v>367500</v>
      </c>
      <c r="D6" s="3">
        <f>SUM(D7:D8)</f>
        <v>378525</v>
      </c>
    </row>
    <row r="7" spans="2:4" x14ac:dyDescent="0.25">
      <c r="B7" s="1" t="s">
        <v>11</v>
      </c>
      <c r="C7" s="3">
        <f>C4*Inputs!$J$8</f>
        <v>245000</v>
      </c>
      <c r="D7" s="3">
        <f>D4*Inputs!$J$8</f>
        <v>252350</v>
      </c>
    </row>
    <row r="8" spans="2:4" x14ac:dyDescent="0.25">
      <c r="B8" s="1" t="s">
        <v>9</v>
      </c>
      <c r="C8" s="3">
        <f>C4*Inputs!$J$9</f>
        <v>122500</v>
      </c>
      <c r="D8" s="3">
        <f>D4*Inputs!$J$9</f>
        <v>126175</v>
      </c>
    </row>
    <row r="9" spans="2:4" x14ac:dyDescent="0.25">
      <c r="B9" t="s">
        <v>12</v>
      </c>
      <c r="C9" s="3">
        <f>SUM(C10)</f>
        <v>989423.07692307699</v>
      </c>
      <c r="D9" s="3">
        <f>SUM(D10)</f>
        <v>1019105.7692307691</v>
      </c>
    </row>
    <row r="10" spans="2:4" x14ac:dyDescent="0.25">
      <c r="B10" s="1" t="s">
        <v>13</v>
      </c>
      <c r="C10" s="3">
        <f>C4*3/260*Inputs!$E$11</f>
        <v>989423.07692307699</v>
      </c>
      <c r="D10" s="3">
        <f>D4*3/260*Inputs!$E$11</f>
        <v>1019105.7692307691</v>
      </c>
    </row>
    <row r="13" spans="2:4" x14ac:dyDescent="0.25">
      <c r="C13" t="s">
        <v>16</v>
      </c>
      <c r="D13" t="s">
        <v>17</v>
      </c>
    </row>
    <row r="14" spans="2:4" x14ac:dyDescent="0.25">
      <c r="B14" t="s">
        <v>14</v>
      </c>
      <c r="C14" s="2">
        <f>Inputs!$E$4*Inputs!$F$9</f>
        <v>3000</v>
      </c>
      <c r="D14" s="2">
        <f>Inputs!$E$4*Inputs!$F$9*(1+Inputs!$G$4)</f>
        <v>3090</v>
      </c>
    </row>
    <row r="15" spans="2:4" x14ac:dyDescent="0.25">
      <c r="B15" t="s">
        <v>15</v>
      </c>
      <c r="C15" s="2">
        <f>C14*Inputs!$F$10</f>
        <v>1800</v>
      </c>
      <c r="D15" s="2">
        <f>D14*Inputs!$F$10</f>
        <v>1854</v>
      </c>
    </row>
    <row r="17" spans="2:4" x14ac:dyDescent="0.25">
      <c r="B17" t="s">
        <v>10</v>
      </c>
      <c r="C17" s="3">
        <f>SUM(C18:C19)</f>
        <v>270000</v>
      </c>
      <c r="D17" s="3">
        <f>SUM(D18:D19)</f>
        <v>278100</v>
      </c>
    </row>
    <row r="18" spans="2:4" x14ac:dyDescent="0.25">
      <c r="B18" s="1" t="s">
        <v>11</v>
      </c>
      <c r="C18" s="3">
        <f>C15*Inputs!$J$8</f>
        <v>180000</v>
      </c>
      <c r="D18" s="3">
        <f>D15*Inputs!$J$8</f>
        <v>185400</v>
      </c>
    </row>
    <row r="19" spans="2:4" x14ac:dyDescent="0.25">
      <c r="B19" s="1" t="s">
        <v>9</v>
      </c>
      <c r="C19" s="3">
        <f>C15*Inputs!$J$9</f>
        <v>90000</v>
      </c>
      <c r="D19" s="3">
        <f>D15*Inputs!$J$9</f>
        <v>92700</v>
      </c>
    </row>
    <row r="20" spans="2:4" x14ac:dyDescent="0.25">
      <c r="B20" t="s">
        <v>12</v>
      </c>
      <c r="C20" s="3">
        <f>SUM(C21)</f>
        <v>830769.23076923075</v>
      </c>
      <c r="D20" s="3">
        <f>SUM(D21)</f>
        <v>855692.30769230775</v>
      </c>
    </row>
    <row r="21" spans="2:4" x14ac:dyDescent="0.25">
      <c r="B21" s="1" t="s">
        <v>13</v>
      </c>
      <c r="C21" s="3">
        <f>C15*3/260*Inputs!$F$11</f>
        <v>830769.23076923075</v>
      </c>
      <c r="D21" s="3">
        <f>D15*3/260*Inputs!$F$11</f>
        <v>855692.30769230775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DC212-88D0-4C67-8BA7-13CB378EBB1C}">
  <sheetPr codeName="Sheet3"/>
  <dimension ref="B3:J11"/>
  <sheetViews>
    <sheetView tabSelected="1" workbookViewId="0">
      <selection activeCell="C8" sqref="C8:E11"/>
    </sheetView>
  </sheetViews>
  <sheetFormatPr defaultRowHeight="15" x14ac:dyDescent="0.25"/>
  <cols>
    <col min="8" max="9" width="12" bestFit="1" customWidth="1"/>
    <col min="10" max="10" width="11" bestFit="1" customWidth="1"/>
  </cols>
  <sheetData>
    <row r="3" spans="2:10" x14ac:dyDescent="0.25">
      <c r="B3" s="19" t="s">
        <v>22</v>
      </c>
      <c r="C3" s="19"/>
      <c r="D3" s="19"/>
      <c r="E3" s="19"/>
      <c r="G3" s="19" t="s">
        <v>23</v>
      </c>
      <c r="H3" s="19"/>
      <c r="I3" s="19"/>
      <c r="J3" s="19"/>
    </row>
    <row r="4" spans="2:10" x14ac:dyDescent="0.25">
      <c r="C4" s="8" t="s">
        <v>16</v>
      </c>
      <c r="D4" s="8" t="s">
        <v>17</v>
      </c>
      <c r="E4" s="8" t="s">
        <v>18</v>
      </c>
      <c r="H4" s="8" t="s">
        <v>16</v>
      </c>
      <c r="I4" s="8" t="s">
        <v>17</v>
      </c>
      <c r="J4" s="8" t="s">
        <v>18</v>
      </c>
    </row>
    <row r="5" spans="2:10" x14ac:dyDescent="0.25">
      <c r="B5" s="6" t="s">
        <v>4</v>
      </c>
      <c r="C5" s="13">
        <f>Calculations!C4</f>
        <v>2450</v>
      </c>
      <c r="D5" s="16">
        <f>Calculations!D4</f>
        <v>2523.5</v>
      </c>
      <c r="E5" s="16">
        <f>SUM(C5:D5)</f>
        <v>4973.5</v>
      </c>
      <c r="G5" s="6" t="s">
        <v>4</v>
      </c>
      <c r="H5" s="4">
        <f>SUM(Calculations!C6, Calculations!C9)</f>
        <v>1356923.076923077</v>
      </c>
      <c r="I5" s="4">
        <f>SUM(Calculations!D6, Calculations!D9)</f>
        <v>1397630.769230769</v>
      </c>
      <c r="J5" s="4">
        <f>SUM(H5:I5)</f>
        <v>2754553.846153846</v>
      </c>
    </row>
    <row r="6" spans="2:10" x14ac:dyDescent="0.25">
      <c r="B6" s="6" t="s">
        <v>5</v>
      </c>
      <c r="C6" s="13">
        <f>Calculations!C15</f>
        <v>1800</v>
      </c>
      <c r="D6" s="13">
        <f>Calculations!D15</f>
        <v>1854</v>
      </c>
      <c r="E6" s="16">
        <f>SUM(C6:D6)</f>
        <v>3654</v>
      </c>
      <c r="G6" s="6" t="s">
        <v>5</v>
      </c>
      <c r="H6" s="4">
        <f>SUM(Calculations!C17, Calculations!C20)</f>
        <v>1100769.2307692308</v>
      </c>
      <c r="I6" s="4">
        <f>SUM(Calculations!D17, Calculations!D20)</f>
        <v>1133792.3076923077</v>
      </c>
      <c r="J6" s="4">
        <f>SUM(H6:I6)</f>
        <v>2234561.5384615385</v>
      </c>
    </row>
    <row r="8" spans="2:10" x14ac:dyDescent="0.25">
      <c r="C8" s="20" t="s">
        <v>27</v>
      </c>
      <c r="D8" s="20"/>
      <c r="E8" s="20"/>
      <c r="F8" s="21"/>
      <c r="G8" s="21"/>
      <c r="H8" s="22" t="s">
        <v>16</v>
      </c>
      <c r="I8" s="22" t="s">
        <v>17</v>
      </c>
      <c r="J8" s="22" t="s">
        <v>18</v>
      </c>
    </row>
    <row r="9" spans="2:10" ht="15" customHeight="1" x14ac:dyDescent="0.25">
      <c r="C9" s="20"/>
      <c r="D9" s="20"/>
      <c r="E9" s="20"/>
      <c r="F9" s="21"/>
      <c r="G9" s="23" t="s">
        <v>19</v>
      </c>
      <c r="H9" s="24">
        <f>SUM(Calculations!C7, Calculations!C18)</f>
        <v>425000</v>
      </c>
      <c r="I9" s="24">
        <f>SUM(Calculations!D7, Calculations!D18)</f>
        <v>437750</v>
      </c>
      <c r="J9" s="24">
        <f>SUM(H9:I9)</f>
        <v>862750</v>
      </c>
    </row>
    <row r="10" spans="2:10" x14ac:dyDescent="0.25">
      <c r="C10" s="20"/>
      <c r="D10" s="20"/>
      <c r="E10" s="20"/>
      <c r="F10" s="21"/>
      <c r="G10" s="23" t="s">
        <v>20</v>
      </c>
      <c r="H10" s="24">
        <f>SUM(Calculations!C8, Calculations!C19)</f>
        <v>212500</v>
      </c>
      <c r="I10" s="24">
        <f>SUM(Calculations!D8, Calculations!D19)</f>
        <v>218875</v>
      </c>
      <c r="J10" s="24">
        <f t="shared" ref="J10:J11" si="0">SUM(H10:I10)</f>
        <v>431375</v>
      </c>
    </row>
    <row r="11" spans="2:10" x14ac:dyDescent="0.25">
      <c r="C11" s="20"/>
      <c r="D11" s="20"/>
      <c r="E11" s="20"/>
      <c r="F11" s="21"/>
      <c r="G11" s="23" t="s">
        <v>21</v>
      </c>
      <c r="H11" s="24">
        <f>SUM(Calculations!C10, Calculations!C21)</f>
        <v>1820192.3076923077</v>
      </c>
      <c r="I11" s="24">
        <f>SUM(Calculations!D10, Calculations!D21)</f>
        <v>1874798.076923077</v>
      </c>
      <c r="J11" s="24">
        <f t="shared" si="0"/>
        <v>3694990.384615385</v>
      </c>
    </row>
  </sheetData>
  <mergeCells count="3">
    <mergeCell ref="G3:J3"/>
    <mergeCell ref="B3:E3"/>
    <mergeCell ref="C8:E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Calculations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mjackson</dc:creator>
  <cp:lastModifiedBy>mjackson</cp:lastModifiedBy>
  <dcterms:created xsi:type="dcterms:W3CDTF">2020-11-03T19:34:23Z</dcterms:created>
  <dcterms:modified xsi:type="dcterms:W3CDTF">2020-11-08T22:15:40Z</dcterms:modified>
</cp:coreProperties>
</file>